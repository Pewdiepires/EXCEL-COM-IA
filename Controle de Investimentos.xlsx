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Gabriel\Desktop\CURSO EXCEL IA\"/>
    </mc:Choice>
  </mc:AlternateContent>
  <xr:revisionPtr revIDLastSave="0" documentId="13_ncr:1_{8670028C-9058-4520-9B0D-5F6FE0E791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  <sheet name="Planilha1" sheetId="2" r:id="rId2"/>
  </sheets>
  <definedNames>
    <definedName name="aporte">Plan1!$D$8</definedName>
    <definedName name="patrimonio">Plan1!$D$11</definedName>
    <definedName name="rendimento_carteira">Plan1!$D$4</definedName>
    <definedName name="salario">Plan1!$D$3</definedName>
    <definedName name="taxa_mensal">Plan1!$D$10</definedName>
    <definedName name="tempo_investimento">Plan1!$D$9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" i="1" l="1"/>
  <c r="D31" i="1" s="1"/>
  <c r="A17" i="2"/>
  <c r="A18" i="2"/>
  <c r="A19" i="2"/>
  <c r="A20" i="2"/>
  <c r="A21" i="2"/>
  <c r="A16" i="2"/>
  <c r="A10" i="2"/>
  <c r="A11" i="2"/>
  <c r="A12" i="2"/>
  <c r="A13" i="2"/>
  <c r="A14" i="2"/>
  <c r="A9" i="2"/>
  <c r="A7" i="2"/>
  <c r="A3" i="2"/>
  <c r="A4" i="2"/>
  <c r="A5" i="2"/>
  <c r="A6" i="2"/>
  <c r="A2" i="2"/>
  <c r="C27" i="1" s="1"/>
  <c r="D27" i="1" s="1"/>
  <c r="C23" i="1"/>
  <c r="D5" i="1"/>
  <c r="D11" i="1"/>
  <c r="D12" i="1" s="1"/>
  <c r="C17" i="1"/>
  <c r="D17" i="1" s="1"/>
  <c r="C18" i="1"/>
  <c r="D18" i="1" s="1"/>
  <c r="C19" i="1"/>
  <c r="D19" i="1" s="1"/>
  <c r="C20" i="1"/>
  <c r="D20" i="1" s="1"/>
  <c r="C16" i="1"/>
  <c r="D16" i="1" s="1"/>
  <c r="C26" i="1" l="1"/>
  <c r="D26" i="1" s="1"/>
  <c r="C30" i="1"/>
  <c r="D30" i="1" s="1"/>
  <c r="C29" i="1"/>
  <c r="D29" i="1" s="1"/>
  <c r="C28" i="1"/>
  <c r="D28" i="1" s="1"/>
  <c r="D32" i="1" l="1"/>
</calcChain>
</file>

<file path=xl/sharedStrings.xml><?xml version="1.0" encoding="utf-8"?>
<sst xmlns="http://schemas.openxmlformats.org/spreadsheetml/2006/main" count="69" uniqueCount="34">
  <si>
    <t>INVESTIMENTO MENSAL</t>
  </si>
  <si>
    <t>Quanto investir por mês?</t>
  </si>
  <si>
    <t>Por quantos anos?</t>
  </si>
  <si>
    <t>Taxa de rendimento mensal</t>
  </si>
  <si>
    <t>Dividendos mensais</t>
  </si>
  <si>
    <t>Patrimônio acumulado</t>
  </si>
  <si>
    <t>CENÁRIOS</t>
  </si>
  <si>
    <t>Rendimento em 2 anos</t>
  </si>
  <si>
    <t>Rendimento em 5 anos</t>
  </si>
  <si>
    <t>Rendimento em 10 anos</t>
  </si>
  <si>
    <t>Rendimento em 20 anos</t>
  </si>
  <si>
    <t>Rendimento em 30 anos</t>
  </si>
  <si>
    <t>Dividendo</t>
  </si>
  <si>
    <t>Configurações</t>
  </si>
  <si>
    <t>Salário</t>
  </si>
  <si>
    <t>Rendimento carteira</t>
  </si>
  <si>
    <t>Sugestão de investimento</t>
  </si>
  <si>
    <t>Perfil</t>
  </si>
  <si>
    <t>Agressivo</t>
  </si>
  <si>
    <t>Conservador</t>
  </si>
  <si>
    <t>Valor a ser investido por mês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</si>
  <si>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</si>
  <si>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</si>
  <si>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</si>
  <si>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</si>
  <si>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</si>
  <si>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</si>
  <si>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</si>
  <si>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</si>
  <si>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</si>
  <si>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PERFIL</t>
  </si>
  <si>
    <t>%</t>
  </si>
  <si>
    <t>Moderado</t>
  </si>
  <si>
    <t>CHAVE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</si>
</sst>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167" formatCode="&quot;R$&quot;\ #,##0.00"/>
    <numFmt numFmtId="168" formatCode="0.000%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/>
      <bottom style="thin">
        <color theme="0" tint="-0.24994659260841701"/>
      </bottom>
      <diagonal/>
    </border>
    <border>
      <left style="medium">
        <color indexed="64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/>
      <bottom style="thin">
        <color theme="0" tint="-0.1499679555650502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48">
    <xf numFmtId="0" fontId="0" fillId="0" borderId="0" xfId="0"/>
    <xf numFmtId="0" fontId="3" fillId="0" borderId="0" xfId="0" applyFont="1"/>
    <xf numFmtId="0" fontId="0" fillId="0" borderId="0" xfId="0" applyBorder="1"/>
    <xf numFmtId="0" fontId="4" fillId="0" borderId="0" xfId="0" applyFont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0" borderId="0" xfId="0" applyFont="1" applyBorder="1"/>
    <xf numFmtId="0" fontId="6" fillId="3" borderId="17" xfId="0" applyFont="1" applyFill="1" applyBorder="1" applyAlignment="1">
      <alignment horizontal="center" vertical="center"/>
    </xf>
    <xf numFmtId="8" fontId="5" fillId="0" borderId="12" xfId="0" applyNumberFormat="1" applyFont="1" applyBorder="1" applyAlignment="1">
      <alignment horizontal="center" vertical="center"/>
    </xf>
    <xf numFmtId="8" fontId="5" fillId="0" borderId="19" xfId="0" applyNumberFormat="1" applyFont="1" applyBorder="1" applyAlignment="1">
      <alignment horizontal="center" vertical="center"/>
    </xf>
    <xf numFmtId="8" fontId="5" fillId="0" borderId="13" xfId="0" applyNumberFormat="1" applyFont="1" applyBorder="1" applyAlignment="1">
      <alignment horizontal="center" vertical="center"/>
    </xf>
    <xf numFmtId="8" fontId="5" fillId="0" borderId="2" xfId="0" applyNumberFormat="1" applyFont="1" applyBorder="1" applyAlignment="1">
      <alignment horizontal="center" vertical="center"/>
    </xf>
    <xf numFmtId="8" fontId="5" fillId="0" borderId="14" xfId="0" applyNumberFormat="1" applyFont="1" applyBorder="1" applyAlignment="1">
      <alignment horizontal="center" vertical="center"/>
    </xf>
    <xf numFmtId="8" fontId="5" fillId="0" borderId="4" xfId="0" applyNumberFormat="1" applyFont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0" fontId="8" fillId="4" borderId="15" xfId="0" applyFont="1" applyFill="1" applyBorder="1" applyAlignment="1">
      <alignment horizontal="center" vertical="center"/>
    </xf>
    <xf numFmtId="0" fontId="8" fillId="4" borderId="17" xfId="0" applyFont="1" applyFill="1" applyBorder="1" applyAlignment="1">
      <alignment horizontal="center" vertical="center"/>
    </xf>
    <xf numFmtId="167" fontId="5" fillId="0" borderId="21" xfId="0" applyNumberFormat="1" applyFont="1" applyBorder="1" applyAlignment="1">
      <alignment horizontal="center" vertical="center"/>
    </xf>
    <xf numFmtId="1" fontId="5" fillId="0" borderId="8" xfId="0" applyNumberFormat="1" applyFont="1" applyBorder="1" applyAlignment="1">
      <alignment horizontal="center" vertical="center"/>
    </xf>
    <xf numFmtId="168" fontId="5" fillId="0" borderId="8" xfId="0" applyNumberFormat="1" applyFont="1" applyBorder="1" applyAlignment="1">
      <alignment horizontal="center" vertical="center"/>
    </xf>
    <xf numFmtId="167" fontId="5" fillId="0" borderId="8" xfId="0" applyNumberFormat="1" applyFont="1" applyBorder="1" applyAlignment="1">
      <alignment horizontal="center" vertical="center"/>
    </xf>
    <xf numFmtId="167" fontId="5" fillId="0" borderId="11" xfId="0" applyNumberFormat="1" applyFont="1" applyBorder="1" applyAlignment="1">
      <alignment horizontal="center" vertical="center"/>
    </xf>
    <xf numFmtId="0" fontId="8" fillId="4" borderId="16" xfId="0" applyFont="1" applyFill="1" applyBorder="1" applyAlignment="1">
      <alignment horizontal="center" vertical="center"/>
    </xf>
    <xf numFmtId="167" fontId="5" fillId="0" borderId="21" xfId="1" applyNumberFormat="1" applyFont="1" applyBorder="1" applyAlignment="1">
      <alignment horizontal="center" vertical="center"/>
    </xf>
    <xf numFmtId="167" fontId="5" fillId="0" borderId="11" xfId="1" applyNumberFormat="1" applyFont="1" applyBorder="1" applyAlignment="1">
      <alignment horizontal="center" vertical="center"/>
    </xf>
    <xf numFmtId="0" fontId="5" fillId="0" borderId="0" xfId="0" applyFont="1" applyAlignment="1">
      <alignment horizontal="left" vertical="top"/>
    </xf>
    <xf numFmtId="0" fontId="4" fillId="0" borderId="18" xfId="0" applyFont="1" applyBorder="1" applyAlignment="1">
      <alignment horizontal="left" vertical="center" indent="3"/>
    </xf>
    <xf numFmtId="0" fontId="4" fillId="0" borderId="1" xfId="0" applyFont="1" applyBorder="1" applyAlignment="1">
      <alignment horizontal="left" vertical="center" indent="3"/>
    </xf>
    <xf numFmtId="0" fontId="4" fillId="0" borderId="3" xfId="0" applyFont="1" applyBorder="1" applyAlignment="1">
      <alignment horizontal="left" vertical="center" indent="3"/>
    </xf>
    <xf numFmtId="0" fontId="4" fillId="0" borderId="20" xfId="0" applyFont="1" applyBorder="1" applyAlignment="1">
      <alignment horizontal="left" vertical="top" indent="3"/>
    </xf>
    <xf numFmtId="0" fontId="4" fillId="0" borderId="5" xfId="0" applyFont="1" applyBorder="1" applyAlignment="1">
      <alignment horizontal="left" vertical="top" indent="3"/>
    </xf>
    <xf numFmtId="0" fontId="4" fillId="0" borderId="7" xfId="0" applyFont="1" applyBorder="1" applyAlignment="1">
      <alignment horizontal="left" vertical="top" indent="3"/>
    </xf>
    <xf numFmtId="0" fontId="4" fillId="0" borderId="6" xfId="0" applyFont="1" applyBorder="1" applyAlignment="1">
      <alignment horizontal="left" vertical="top" indent="3"/>
    </xf>
    <xf numFmtId="0" fontId="4" fillId="0" borderId="9" xfId="0" applyFont="1" applyBorder="1" applyAlignment="1">
      <alignment horizontal="left" vertical="top" indent="3"/>
    </xf>
    <xf numFmtId="0" fontId="4" fillId="0" borderId="10" xfId="0" applyFont="1" applyBorder="1" applyAlignment="1">
      <alignment horizontal="left" vertical="top" indent="3"/>
    </xf>
    <xf numFmtId="0" fontId="8" fillId="3" borderId="15" xfId="0" applyFont="1" applyFill="1" applyBorder="1" applyAlignment="1">
      <alignment horizontal="center" vertical="top"/>
    </xf>
    <xf numFmtId="0" fontId="8" fillId="3" borderId="16" xfId="0" applyFont="1" applyFill="1" applyBorder="1" applyAlignment="1">
      <alignment horizontal="center" vertical="top"/>
    </xf>
    <xf numFmtId="0" fontId="8" fillId="3" borderId="17" xfId="0" applyFont="1" applyFill="1" applyBorder="1" applyAlignment="1">
      <alignment horizontal="center" vertical="top"/>
    </xf>
    <xf numFmtId="0" fontId="2" fillId="2" borderId="0" xfId="2"/>
    <xf numFmtId="167" fontId="5" fillId="0" borderId="0" xfId="0" applyNumberFormat="1" applyFont="1"/>
    <xf numFmtId="0" fontId="2" fillId="2" borderId="0" xfId="2" applyAlignment="1">
      <alignment horizontal="center"/>
    </xf>
    <xf numFmtId="0" fontId="5" fillId="5" borderId="0" xfId="0" applyFont="1" applyFill="1"/>
    <xf numFmtId="167" fontId="5" fillId="5" borderId="0" xfId="0" applyNumberFormat="1" applyFont="1" applyFill="1" applyAlignment="1">
      <alignment horizontal="center"/>
    </xf>
    <xf numFmtId="10" fontId="5" fillId="0" borderId="0" xfId="0" applyNumberFormat="1" applyFont="1"/>
    <xf numFmtId="0" fontId="7" fillId="6" borderId="0" xfId="0" applyFont="1" applyFill="1" applyAlignment="1">
      <alignment horizontal="center" vertical="center"/>
    </xf>
    <xf numFmtId="0" fontId="0" fillId="6" borderId="0" xfId="0" applyFill="1"/>
    <xf numFmtId="167" fontId="0" fillId="6" borderId="0" xfId="0" applyNumberFormat="1" applyFill="1"/>
  </cellXfs>
  <cellStyles count="3">
    <cellStyle name="Moeda" xfId="1" builtinId="4"/>
    <cellStyle name="Neutro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Plan1!$C$25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Plan1!$B$26:$B$31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Plan1!$C$26:$C$31</c:f>
              <c:numCache>
                <c:formatCode>0.00%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B4-4D53-ACB3-B94242DF83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1552161</xdr:colOff>
      <xdr:row>32</xdr:row>
      <xdr:rowOff>176006</xdr:rowOff>
    </xdr:from>
    <xdr:to>
      <xdr:col>3</xdr:col>
      <xdr:colOff>409161</xdr:colOff>
      <xdr:row>47</xdr:row>
      <xdr:rowOff>56736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64B039F-F050-0EA5-197C-D30FB54B7C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50"/>
  <sheetViews>
    <sheetView showGridLines="0" tabSelected="1" zoomScale="115" zoomScaleNormal="115" workbookViewId="0">
      <selection activeCell="D49" sqref="B23:D49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9.140625" defaultRowHeight="15" x14ac:dyDescent="0.25"/>
  <cols>
    <col min="1" max="1" width="9.140625" customWidth="1"/>
    <col min="2" max="2" width="52.140625" customWidth="1"/>
    <col min="3" max="3" width="33.5703125" customWidth="1"/>
    <col min="4" max="4" width="17.7109375" customWidth="1"/>
    <col min="5" max="5" width="15.140625" customWidth="1"/>
    <col min="6" max="6" width="24.42578125" customWidth="1"/>
    <col min="7" max="7" width="14.28515625" customWidth="1"/>
    <col min="8" max="8" width="9.140625" customWidth="1"/>
    <col min="16384" max="16384" width="0.140625" customWidth="1"/>
  </cols>
  <sheetData>
    <row r="1" spans="1:5" ht="15.75" thickBot="1" x14ac:dyDescent="0.3">
      <c r="A1" s="4"/>
      <c r="B1" s="4"/>
      <c r="C1" s="4"/>
      <c r="D1" s="4"/>
      <c r="E1" s="4"/>
    </row>
    <row r="2" spans="1:5" ht="24" customHeight="1" x14ac:dyDescent="0.25">
      <c r="A2" s="4"/>
      <c r="B2" s="16" t="s">
        <v>13</v>
      </c>
      <c r="C2" s="23"/>
      <c r="D2" s="17"/>
      <c r="E2" s="4"/>
    </row>
    <row r="3" spans="1:5" x14ac:dyDescent="0.25">
      <c r="A3" s="4"/>
      <c r="B3" s="30" t="s">
        <v>14</v>
      </c>
      <c r="C3" s="31"/>
      <c r="D3" s="24">
        <v>5000</v>
      </c>
      <c r="E3" s="4"/>
    </row>
    <row r="4" spans="1:5" x14ac:dyDescent="0.25">
      <c r="A4" s="4"/>
      <c r="B4" s="32" t="s">
        <v>15</v>
      </c>
      <c r="C4" s="33"/>
      <c r="D4" s="20">
        <v>8.8999999999999999E-3</v>
      </c>
      <c r="E4" s="4"/>
    </row>
    <row r="5" spans="1:5" s="2" customFormat="1" ht="15.75" thickBot="1" x14ac:dyDescent="0.3">
      <c r="A5" s="6"/>
      <c r="B5" s="34" t="s">
        <v>16</v>
      </c>
      <c r="C5" s="35"/>
      <c r="D5" s="25">
        <f>salario*30%</f>
        <v>1500</v>
      </c>
      <c r="E5" s="6"/>
    </row>
    <row r="6" spans="1:5" ht="13.5" customHeight="1" thickBot="1" x14ac:dyDescent="0.3">
      <c r="A6" s="4"/>
      <c r="B6" s="26"/>
      <c r="C6" s="26"/>
      <c r="D6" s="5"/>
      <c r="E6" s="4"/>
    </row>
    <row r="7" spans="1:5" ht="24" customHeight="1" x14ac:dyDescent="0.25">
      <c r="A7" s="4"/>
      <c r="B7" s="36" t="s">
        <v>0</v>
      </c>
      <c r="C7" s="37"/>
      <c r="D7" s="38"/>
      <c r="E7" s="4"/>
    </row>
    <row r="8" spans="1:5" x14ac:dyDescent="0.25">
      <c r="A8" s="4"/>
      <c r="B8" s="30" t="s">
        <v>1</v>
      </c>
      <c r="C8" s="31"/>
      <c r="D8" s="18">
        <v>300</v>
      </c>
      <c r="E8" s="4"/>
    </row>
    <row r="9" spans="1:5" x14ac:dyDescent="0.25">
      <c r="A9" s="4"/>
      <c r="B9" s="32" t="s">
        <v>2</v>
      </c>
      <c r="C9" s="33"/>
      <c r="D9" s="19">
        <v>5</v>
      </c>
      <c r="E9" s="4"/>
    </row>
    <row r="10" spans="1:5" x14ac:dyDescent="0.25">
      <c r="A10" s="4"/>
      <c r="B10" s="32" t="s">
        <v>3</v>
      </c>
      <c r="C10" s="33"/>
      <c r="D10" s="20">
        <v>1.0789999999999999E-2</v>
      </c>
      <c r="E10" s="6"/>
    </row>
    <row r="11" spans="1:5" x14ac:dyDescent="0.25">
      <c r="A11" s="4"/>
      <c r="B11" s="32" t="s">
        <v>5</v>
      </c>
      <c r="C11" s="33"/>
      <c r="D11" s="21">
        <f>FV(taxa_mensal,tempo_investimento*12,aporte*-1)</f>
        <v>25133.074199546292</v>
      </c>
      <c r="E11" s="6"/>
    </row>
    <row r="12" spans="1:5" ht="15.75" thickBot="1" x14ac:dyDescent="0.3">
      <c r="A12" s="4"/>
      <c r="B12" s="34" t="s">
        <v>4</v>
      </c>
      <c r="C12" s="35"/>
      <c r="D12" s="22">
        <f>D11*D4</f>
        <v>223.684360375962</v>
      </c>
      <c r="E12" s="4"/>
    </row>
    <row r="13" spans="1:5" x14ac:dyDescent="0.25">
      <c r="A13" s="4"/>
      <c r="B13" s="5"/>
      <c r="C13" s="5"/>
      <c r="D13" s="5"/>
      <c r="E13" s="4"/>
    </row>
    <row r="14" spans="1:5" ht="15.75" thickBot="1" x14ac:dyDescent="0.3">
      <c r="A14" s="4"/>
      <c r="B14" s="5"/>
      <c r="C14" s="5"/>
      <c r="D14" s="5"/>
      <c r="E14" s="4"/>
    </row>
    <row r="15" spans="1:5" ht="24" customHeight="1" x14ac:dyDescent="0.25">
      <c r="A15" s="4"/>
      <c r="B15" s="14" t="s">
        <v>6</v>
      </c>
      <c r="C15" s="15"/>
      <c r="D15" s="7" t="s">
        <v>12</v>
      </c>
      <c r="E15" s="4"/>
    </row>
    <row r="16" spans="1:5" ht="15" customHeight="1" x14ac:dyDescent="0.25">
      <c r="A16" s="4"/>
      <c r="B16" s="27" t="s">
        <v>7</v>
      </c>
      <c r="C16" s="8">
        <f>FV($D$10,$A24*12,$D$8*-1)</f>
        <v>8168.2881892935648</v>
      </c>
      <c r="D16" s="9">
        <f>C16*rendimento_carteira</f>
        <v>72.697764884712726</v>
      </c>
      <c r="E16" s="4"/>
    </row>
    <row r="17" spans="1:7" x14ac:dyDescent="0.25">
      <c r="A17" s="4"/>
      <c r="B17" s="28" t="s">
        <v>8</v>
      </c>
      <c r="C17" s="10">
        <f>FV($D$10,$A25*12,$D$8*-1)</f>
        <v>25133.074199546292</v>
      </c>
      <c r="D17" s="11">
        <f>C17*rendimento_carteira</f>
        <v>223.684360375962</v>
      </c>
      <c r="E17" s="4"/>
    </row>
    <row r="18" spans="1:7" x14ac:dyDescent="0.25">
      <c r="A18" s="4"/>
      <c r="B18" s="28" t="s">
        <v>9</v>
      </c>
      <c r="C18" s="10">
        <f>FV($D$10,$A26*12,$D$8*-1)</f>
        <v>72985.263759051653</v>
      </c>
      <c r="D18" s="11">
        <f>C18*rendimento_carteira</f>
        <v>649.56884745555976</v>
      </c>
      <c r="E18" s="4"/>
    </row>
    <row r="19" spans="1:7" x14ac:dyDescent="0.25">
      <c r="A19" s="4"/>
      <c r="B19" s="28" t="s">
        <v>10</v>
      </c>
      <c r="C19" s="10">
        <f>FV($D$10,$A27*12,$D$8*-1)</f>
        <v>337559.52002912416</v>
      </c>
      <c r="D19" s="11">
        <f>C19*rendimento_carteira</f>
        <v>3004.2797282592051</v>
      </c>
      <c r="E19" s="4"/>
    </row>
    <row r="20" spans="1:7" ht="15.75" thickBot="1" x14ac:dyDescent="0.3">
      <c r="A20" s="4"/>
      <c r="B20" s="29" t="s">
        <v>11</v>
      </c>
      <c r="C20" s="12">
        <f>FV($D$10,$A28*12,$D$8*-1)</f>
        <v>1296650.8965014142</v>
      </c>
      <c r="D20" s="13">
        <f>C20*rendimento_carteira</f>
        <v>11540.192978862588</v>
      </c>
      <c r="E20" s="4"/>
    </row>
    <row r="21" spans="1:7" ht="15.75" x14ac:dyDescent="0.25">
      <c r="A21" s="4"/>
      <c r="B21" s="4"/>
      <c r="C21" s="4"/>
      <c r="D21" s="4"/>
      <c r="E21" s="4"/>
      <c r="G21" s="3"/>
    </row>
    <row r="22" spans="1:7" ht="15.75" x14ac:dyDescent="0.25">
      <c r="A22" s="4"/>
      <c r="B22" s="39" t="s">
        <v>17</v>
      </c>
      <c r="C22" s="41" t="s">
        <v>18</v>
      </c>
      <c r="D22" s="41"/>
      <c r="E22" s="4"/>
      <c r="G22" s="3"/>
    </row>
    <row r="23" spans="1:7" ht="15" customHeight="1" x14ac:dyDescent="0.25">
      <c r="A23" s="4"/>
      <c r="B23" s="42" t="s">
        <v>20</v>
      </c>
      <c r="C23" s="43">
        <f>aporte</f>
        <v>300</v>
      </c>
      <c r="D23" s="43"/>
      <c r="E23" s="4"/>
    </row>
    <row r="24" spans="1:7" x14ac:dyDescent="0.25">
      <c r="A24" s="1">
        <v>2</v>
      </c>
    </row>
    <row r="25" spans="1:7" ht="15.75" x14ac:dyDescent="0.25">
      <c r="A25" s="1">
        <v>5</v>
      </c>
      <c r="B25" s="45" t="s">
        <v>21</v>
      </c>
      <c r="C25" s="45" t="s">
        <v>22</v>
      </c>
      <c r="D25" s="45" t="s">
        <v>23</v>
      </c>
    </row>
    <row r="26" spans="1:7" x14ac:dyDescent="0.25">
      <c r="A26" s="1">
        <v>10</v>
      </c>
      <c r="B26" s="5" t="s">
        <v>24</v>
      </c>
      <c r="C26" s="44">
        <f>VLOOKUP($C$22&amp;"-"&amp;B26,Planilha1!A:D,4,FALSE)</f>
        <v>0.5</v>
      </c>
      <c r="D26" s="40">
        <f>$C$23*C26</f>
        <v>150</v>
      </c>
    </row>
    <row r="27" spans="1:7" x14ac:dyDescent="0.25">
      <c r="A27" s="1">
        <v>20</v>
      </c>
      <c r="B27" s="5" t="s">
        <v>25</v>
      </c>
      <c r="C27" s="44">
        <f>VLOOKUP($C$22&amp;"-"&amp;B27,Planilha1!A:D,4,FALSE)</f>
        <v>0.1</v>
      </c>
      <c r="D27" s="40">
        <f t="shared" ref="D27:D31" si="0">$C$23*C27</f>
        <v>30</v>
      </c>
    </row>
    <row r="28" spans="1:7" x14ac:dyDescent="0.25">
      <c r="A28" s="1">
        <v>30</v>
      </c>
      <c r="B28" s="5" t="s">
        <v>26</v>
      </c>
      <c r="C28" s="44">
        <f>VLOOKUP($C$22&amp;"-"&amp;B28,Planilha1!A:D,4,FALSE)</f>
        <v>0.05</v>
      </c>
      <c r="D28" s="40">
        <f t="shared" si="0"/>
        <v>15</v>
      </c>
    </row>
    <row r="29" spans="1:7" x14ac:dyDescent="0.25">
      <c r="B29" s="5" t="s">
        <v>27</v>
      </c>
      <c r="C29" s="44">
        <f>VLOOKUP($C$22&amp;"-"&amp;B29,Planilha1!A:D,4,FALSE)</f>
        <v>0.05</v>
      </c>
      <c r="D29" s="40">
        <f t="shared" si="0"/>
        <v>15</v>
      </c>
    </row>
    <row r="30" spans="1:7" x14ac:dyDescent="0.25">
      <c r="B30" s="5" t="s">
        <v>28</v>
      </c>
      <c r="C30" s="44">
        <f>VLOOKUP($C$22&amp;"-"&amp;B30,Planilha1!A:D,4,FALSE)</f>
        <v>0.2</v>
      </c>
      <c r="D30" s="40">
        <f t="shared" si="0"/>
        <v>60</v>
      </c>
    </row>
    <row r="31" spans="1:7" x14ac:dyDescent="0.25">
      <c r="B31" s="5" t="s">
        <v>29</v>
      </c>
      <c r="C31" s="44">
        <f>VLOOKUP($C$22&amp;"-"&amp;B31,Planilha1!A:D,4,FALSE)</f>
        <v>0.1</v>
      </c>
      <c r="D31" s="40">
        <f t="shared" si="0"/>
        <v>30</v>
      </c>
    </row>
    <row r="32" spans="1:7" x14ac:dyDescent="0.25">
      <c r="B32" s="46"/>
      <c r="C32" s="46"/>
      <c r="D32" s="47">
        <f>SUM(D26:D31)</f>
        <v>300</v>
      </c>
    </row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</sheetData>
  <mergeCells count="13">
    <mergeCell ref="C22:D22"/>
    <mergeCell ref="C23:D23"/>
    <mergeCell ref="B3:C3"/>
    <mergeCell ref="B4:C4"/>
    <mergeCell ref="B5:C5"/>
    <mergeCell ref="B7:D7"/>
    <mergeCell ref="B2:D2"/>
    <mergeCell ref="B15:C15"/>
    <mergeCell ref="B8:C8"/>
    <mergeCell ref="B9:C9"/>
    <mergeCell ref="B10:C10"/>
    <mergeCell ref="B11:C11"/>
    <mergeCell ref="B12:C12"/>
  </mergeCells>
  <dataValidations count="1">
    <dataValidation type="list" allowBlank="1" showInputMessage="1" showErrorMessage="1" sqref="C22" xr:uid="{C6692BF9-C576-4A37-BBDC-CFBE2448A763}">
      <formula1>"Agressivo,Conservador,Moderado"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6EB3D-A1E5-4838-8DC5-3D695A3E5AAA}">
  <dimension ref="A1:D21"/>
  <sheetViews>
    <sheetView workbookViewId="0">
      <selection activeCell="I20" sqref="I20"/>
    </sheetView>
  </sheetViews>
  <sheetFormatPr defaultRowHeight="15" x14ac:dyDescent="0.25"/>
  <cols>
    <col min="1" max="1" width="24.7109375" customWidth="1"/>
    <col min="2" max="2" width="12.140625" bestFit="1" customWidth="1"/>
    <col min="3" max="3" width="16.85546875" bestFit="1" customWidth="1"/>
  </cols>
  <sheetData>
    <row r="1" spans="1:4" x14ac:dyDescent="0.25">
      <c r="A1" t="s">
        <v>33</v>
      </c>
      <c r="B1" t="s">
        <v>30</v>
      </c>
      <c r="C1" t="s">
        <v>21</v>
      </c>
      <c r="D1" t="s">
        <v>31</v>
      </c>
    </row>
    <row r="2" spans="1:4" x14ac:dyDescent="0.25">
      <c r="A2" t="str">
        <f>B2&amp;"-"&amp;C2</f>
        <v>Conservador-Papel</v>
      </c>
      <c r="B2" t="s">
        <v>19</v>
      </c>
      <c r="C2" t="s">
        <v>24</v>
      </c>
      <c r="D2" s="44">
        <v>0.3</v>
      </c>
    </row>
    <row r="3" spans="1:4" x14ac:dyDescent="0.25">
      <c r="A3" t="str">
        <f t="shared" ref="A3:A6" si="0">B3&amp;"-"&amp;C3</f>
        <v>Conservador-Tijolo</v>
      </c>
      <c r="B3" t="s">
        <v>19</v>
      </c>
      <c r="C3" t="s">
        <v>25</v>
      </c>
      <c r="D3" s="44">
        <v>0.5</v>
      </c>
    </row>
    <row r="4" spans="1:4" x14ac:dyDescent="0.25">
      <c r="A4" t="str">
        <f t="shared" si="0"/>
        <v>Conservador-Híbridos</v>
      </c>
      <c r="B4" t="s">
        <v>19</v>
      </c>
      <c r="C4" t="s">
        <v>26</v>
      </c>
      <c r="D4" s="44">
        <v>0.1</v>
      </c>
    </row>
    <row r="5" spans="1:4" x14ac:dyDescent="0.25">
      <c r="A5" t="str">
        <f t="shared" si="0"/>
        <v>Conservador-FOFs</v>
      </c>
      <c r="B5" t="s">
        <v>19</v>
      </c>
      <c r="C5" t="s">
        <v>27</v>
      </c>
      <c r="D5" s="44">
        <v>0.1</v>
      </c>
    </row>
    <row r="6" spans="1:4" x14ac:dyDescent="0.25">
      <c r="A6" t="str">
        <f t="shared" si="0"/>
        <v>Conservador-Desenvolvimento</v>
      </c>
      <c r="B6" t="s">
        <v>19</v>
      </c>
      <c r="C6" t="s">
        <v>28</v>
      </c>
      <c r="D6" s="44">
        <v>0</v>
      </c>
    </row>
    <row r="7" spans="1:4" x14ac:dyDescent="0.25">
      <c r="A7" t="str">
        <f>B7&amp;"-"&amp;C7</f>
        <v>Conservador-Hotelarias</v>
      </c>
      <c r="B7" t="s">
        <v>19</v>
      </c>
      <c r="C7" t="s">
        <v>29</v>
      </c>
      <c r="D7" s="44">
        <v>0</v>
      </c>
    </row>
    <row r="9" spans="1:4" x14ac:dyDescent="0.25">
      <c r="A9" t="str">
        <f>B9&amp;"-"&amp;C9</f>
        <v>Agressivo-Papel</v>
      </c>
      <c r="B9" t="s">
        <v>18</v>
      </c>
      <c r="C9" t="s">
        <v>24</v>
      </c>
      <c r="D9" s="44">
        <v>0.5</v>
      </c>
    </row>
    <row r="10" spans="1:4" x14ac:dyDescent="0.25">
      <c r="A10" t="str">
        <f t="shared" ref="A10:A14" si="1">B10&amp;"-"&amp;C10</f>
        <v>Agressivo-Tijolo</v>
      </c>
      <c r="B10" t="s">
        <v>18</v>
      </c>
      <c r="C10" t="s">
        <v>25</v>
      </c>
      <c r="D10" s="44">
        <v>0.1</v>
      </c>
    </row>
    <row r="11" spans="1:4" x14ac:dyDescent="0.25">
      <c r="A11" t="str">
        <f t="shared" si="1"/>
        <v>Agressivo-Híbridos</v>
      </c>
      <c r="B11" t="s">
        <v>18</v>
      </c>
      <c r="C11" t="s">
        <v>26</v>
      </c>
      <c r="D11" s="44">
        <v>0.05</v>
      </c>
    </row>
    <row r="12" spans="1:4" x14ac:dyDescent="0.25">
      <c r="A12" t="str">
        <f t="shared" si="1"/>
        <v>Agressivo-FOFs</v>
      </c>
      <c r="B12" t="s">
        <v>18</v>
      </c>
      <c r="C12" t="s">
        <v>27</v>
      </c>
      <c r="D12" s="44">
        <v>0.05</v>
      </c>
    </row>
    <row r="13" spans="1:4" x14ac:dyDescent="0.25">
      <c r="A13" t="str">
        <f t="shared" si="1"/>
        <v>Agressivo-Desenvolvimento</v>
      </c>
      <c r="B13" t="s">
        <v>18</v>
      </c>
      <c r="C13" t="s">
        <v>28</v>
      </c>
      <c r="D13" s="44">
        <v>0.2</v>
      </c>
    </row>
    <row r="14" spans="1:4" x14ac:dyDescent="0.25">
      <c r="A14" t="str">
        <f t="shared" si="1"/>
        <v>Agressivo-Hotelarias</v>
      </c>
      <c r="B14" t="s">
        <v>18</v>
      </c>
      <c r="C14" t="s">
        <v>29</v>
      </c>
      <c r="D14" s="44">
        <v>0.1</v>
      </c>
    </row>
    <row r="16" spans="1:4" x14ac:dyDescent="0.25">
      <c r="A16" t="str">
        <f t="shared" ref="A16:A21" si="2">B16&amp;"-"&amp;C16</f>
        <v>Moderado-Papel</v>
      </c>
      <c r="B16" t="s">
        <v>32</v>
      </c>
      <c r="C16" t="s">
        <v>24</v>
      </c>
      <c r="D16" s="44">
        <v>0.32</v>
      </c>
    </row>
    <row r="17" spans="1:4" x14ac:dyDescent="0.25">
      <c r="A17" t="str">
        <f t="shared" si="2"/>
        <v>Moderado-Tijolo</v>
      </c>
      <c r="B17" t="s">
        <v>32</v>
      </c>
      <c r="C17" t="s">
        <v>25</v>
      </c>
      <c r="D17" s="44">
        <v>0.4</v>
      </c>
    </row>
    <row r="18" spans="1:4" x14ac:dyDescent="0.25">
      <c r="A18" t="str">
        <f t="shared" si="2"/>
        <v>Moderado-Híbridos</v>
      </c>
      <c r="B18" t="s">
        <v>32</v>
      </c>
      <c r="C18" t="s">
        <v>26</v>
      </c>
      <c r="D18" s="44">
        <v>0.08</v>
      </c>
    </row>
    <row r="19" spans="1:4" x14ac:dyDescent="0.25">
      <c r="A19" t="str">
        <f t="shared" si="2"/>
        <v>Moderado-FOFs</v>
      </c>
      <c r="B19" t="s">
        <v>32</v>
      </c>
      <c r="C19" t="s">
        <v>27</v>
      </c>
      <c r="D19" s="44">
        <v>0.1</v>
      </c>
    </row>
    <row r="20" spans="1:4" x14ac:dyDescent="0.25">
      <c r="A20" t="str">
        <f t="shared" si="2"/>
        <v>Moderado-Desenvolvimento</v>
      </c>
      <c r="B20" t="s">
        <v>32</v>
      </c>
      <c r="C20" t="s">
        <v>28</v>
      </c>
      <c r="D20" s="44">
        <v>0.05</v>
      </c>
    </row>
    <row r="21" spans="1:4" x14ac:dyDescent="0.25">
      <c r="A21" t="str">
        <f t="shared" si="2"/>
        <v>Moderado-Hotelarias</v>
      </c>
      <c r="B21" t="s">
        <v>32</v>
      </c>
      <c r="C21" t="s">
        <v>29</v>
      </c>
      <c r="D21" s="44">
        <v>0.05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6</vt:i4>
      </vt:variant>
    </vt:vector>
  </HeadingPairs>
  <TitlesOfParts>
    <vt:vector size="8" baseType="lpstr">
      <vt:lpstr>Plan1</vt:lpstr>
      <vt:lpstr>Planilha1</vt:lpstr>
      <vt:lpstr>aporte</vt:lpstr>
      <vt:lpstr>patrimonio</vt:lpstr>
      <vt:lpstr>rendimento_carteira</vt:lpstr>
      <vt:lpstr>salario</vt:lpstr>
      <vt:lpstr>taxa_mensal</vt:lpstr>
      <vt:lpstr>tempo_investimento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</dc:creator>
  <cp:lastModifiedBy>GABRIEL DI SANTIS SYLVESTRE PIRES</cp:lastModifiedBy>
  <dcterms:created xsi:type="dcterms:W3CDTF">2015-06-05T18:19:34Z</dcterms:created>
  <dcterms:modified xsi:type="dcterms:W3CDTF">2026-09-15T00:31:05Z</dcterms:modified>
</cp:coreProperties>
</file>